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creen by screen" sheetId="2" state="visible" r:id="rId4"/>
    <sheet name="Changes" sheetId="3" state="visible" r:id="rId5"/>
    <sheet name="Not changed" sheetId="4" state="visible" r:id="rId6"/>
    <sheet name="Still op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<sst xmlns="http://schemas.openxmlformats.org/spreadsheetml/2006/main" count="387" uniqueCount="172">
  <si>
    <t xml:space="preserve">CSPdocMaker — changes made on 26 Oct 2026</t>
  </si>
  <si>
    <t xml:space="preserve">Requests No. 146 and No. 147. Built and tested on the laptop, pushed to GitHub; the server update is still to do. Nothing that is sent, made or synced changed — see the 'Not changed' tab.</t>
  </si>
  <si>
    <t xml:space="preserve">Change</t>
  </si>
  <si>
    <t xml:space="preserve">Screens</t>
  </si>
  <si>
    <t xml:space="preserve">Behind the scenes</t>
  </si>
  <si>
    <t xml:space="preserve">Documents / checks</t>
  </si>
  <si>
    <t xml:space="preserve">Total</t>
  </si>
  <si>
    <t xml:space="preserve">Added</t>
  </si>
  <si>
    <t xml:space="preserve">Changed</t>
  </si>
  <si>
    <t xml:space="preserve">Removed</t>
  </si>
  <si>
    <t xml:space="preserve">Fixed</t>
  </si>
  <si>
    <t xml:space="preserve">Tests</t>
  </si>
  <si>
    <t xml:space="preserve">Automatic checks passing (final run before the push)</t>
  </si>
  <si>
    <t xml:space="preserve">Golden checks passing (60 cases + 2 file checks)</t>
  </si>
  <si>
    <t xml:space="preserve">Commits pushed to GitHub</t>
  </si>
  <si>
    <t xml:space="preserve">Typed in from the final test run (1297 passed, 0 failed), the golden check (62 passed = 60 cases + 2 file checks) and git log (b8c4f62, e0e1dfe, de58813, 3b90236, f484d3b). The counts above them are formulas over the Changes tab.</t>
  </si>
  <si>
    <t xml:space="preserve">Screen</t>
  </si>
  <si>
    <t xml:space="preserve">How to get there</t>
  </si>
  <si>
    <t xml:space="preserve">Who sees it</t>
  </si>
  <si>
    <t xml:space="preserve">Exact change</t>
  </si>
  <si>
    <t xml:space="preserve">Admin sidebar</t>
  </si>
  <si>
    <t xml:space="preserve">Left menu of the admin screen</t>
  </si>
  <si>
    <t xml:space="preserve">Admin, Super Admin</t>
  </si>
  <si>
    <t xml:space="preserve">'Data quality' button (clipboard-tick icon) in the Setup section — after 'Agents' (Super Admin only) and before 'Messaging'. For an Admin it is the first Setup item.</t>
  </si>
  <si>
    <t xml:space="preserve">'Data quality' from the main list under 'Emails' (it was only there on the laptop for a few hours; on the server it appears straight in Setup).</t>
  </si>
  <si>
    <t xml:space="preserve">Admin top bar</t>
  </si>
  <si>
    <t xml:space="preserve">Top of every admin screen</t>
  </si>
  <si>
    <t xml:space="preserve">Coloured chips to the LEFT of the moon / sun (dark mode) button: '● CSP sheet 2 min ago', '● Sign-in list …', '● Calling &amp; Lead sheets …'. Green = on time, amber = 'late', red = 'failed' or 'stuck', grey = 'never read'. Hover a chip for details. Shown only on wide screens (laptop / desktop). If they cannot load: grey 'Sync status unavailable'. Refreshes every minute.</t>
  </si>
  <si>
    <t xml:space="preserve">RM top bar</t>
  </si>
  <si>
    <t xml:space="preserve">Top of every RM screen</t>
  </si>
  <si>
    <t xml:space="preserve">RM</t>
  </si>
  <si>
    <t xml:space="preserve">The same chips, to the LEFT of the bell (notifications) icon. No failure reasons for RMs.</t>
  </si>
  <si>
    <t xml:space="preserve">CSP panel</t>
  </si>
  <si>
    <t xml:space="preserve">Admin → type in the top search bar → choose a CSP</t>
  </si>
  <si>
    <t xml:space="preserve">'RBO' row, after 'AO'.</t>
  </si>
  <si>
    <t xml:space="preserve">'Address' row, after 'Email'.</t>
  </si>
  <si>
    <t xml:space="preserve">Small note under each value the app filled in by itself (State, LHO, AO, RBO, Email, Address, DC, ASM, Assigned RM): 'ⓘ From INFO tab · not checked by anyone yet' (grey), '· confirmed' (green) or '· corrected' (amber). Hover = the reason, e.g. 'INFO AO block, by branch VISARWADI'. Values typed in the sheet get no note.</t>
  </si>
  <si>
    <t xml:space="preserve">Amber line 'Where these values came from could not be read just now.' — only if that information fails to load; the panel still opens.</t>
  </si>
  <si>
    <t xml:space="preserve">Data quality page (new)</t>
  </si>
  <si>
    <t xml:space="preserve">Admin → Setup → Data quality</t>
  </si>
  <si>
    <t xml:space="preserve">Section 1 'Context — what the app reads': table with Sheet · Used for · Last read in full · Expected (every N min) · State (On time / Late / Stuck / Failed / Never read; red reason text when failed).</t>
  </si>
  <si>
    <t xml:space="preserve">Section 2 'Auto-filled values — check or correct': filter buttons 'Not checked yet' (default) · 'Corrected' · 'Confirmed' · 'All', and a search box (CSP code, name or value). Columns: CSP · Field · Value · Why this value · State · buttons. 'Show 50 more' at the bottom.</t>
  </si>
  <si>
    <t xml:space="preserve">Admin → Setup → Data quality → section 2</t>
  </si>
  <si>
    <t xml:space="preserve">Green 'Confirm' button (only on values not checked yet): marks it right; nothing is written to the sheet.</t>
  </si>
  <si>
    <t xml:space="preserve">'Correct' button (pen icon): the value becomes a text box with 'Save to sheet' and 'Cancel' (Enter saves, Esc cancels). Saving writes it to the CSP sheet. A red message under the value if refused (changed by someone else, sheet unreachable).</t>
  </si>
  <si>
    <t xml:space="preserve">Grey '🔒 Not here' instead of buttons on the RM name; hover says why (it decides who owns the CSP — change it in the sheet).</t>
  </si>
  <si>
    <t xml:space="preserve">Five number tiles: Filled values in use · Kept without correction (green at 75% or more, red below) · Checked by a person and kept · Corrected · Characters changed, on average.</t>
  </si>
  <si>
    <t xml:space="preserve">Table 'By field and source': Field · Filled from · Filled · Not checked · Confirmed · Corrected · Kept · Checked &amp; kept · Avg. chars changed. Click a row to show only that field's corrections.</t>
  </si>
  <si>
    <t xml:space="preserve">Table 'Week by week': Week of · Values filled · Corrections · Avg. chars changed (shown once there is data).</t>
  </si>
  <si>
    <t xml:space="preserve">Admin → Setup → Data quality (bottom)</t>
  </si>
  <si>
    <t xml:space="preserve">Table 'Corrections': CSP · Field · The app filled · Changed to · Chars · Where, by whom · When. 'Show all' and 'Show N more' links.</t>
  </si>
  <si>
    <t xml:space="preserve">Screens NOT changed today</t>
  </si>
  <si>
    <t xml:space="preserve">Overview dashboard</t>
  </si>
  <si>
    <t xml:space="preserve">Emails</t>
  </si>
  <si>
    <t xml:space="preserve">WhatsApp messages</t>
  </si>
  <si>
    <t xml:space="preserve">Messaging</t>
  </si>
  <si>
    <t xml:space="preserve">Document templates</t>
  </si>
  <si>
    <t xml:space="preserve">Sheets (sheet editor — looks the same; it now also records corrections)</t>
  </si>
  <si>
    <t xml:space="preserve">Database</t>
  </si>
  <si>
    <t xml:space="preserve">Agents</t>
  </si>
  <si>
    <t xml:space="preserve">Access</t>
  </si>
  <si>
    <t xml:space="preserve">Workspace rules</t>
  </si>
  <si>
    <t xml:space="preserve">Knowledge Base</t>
  </si>
  <si>
    <t xml:space="preserve">Build a dashboard</t>
  </si>
  <si>
    <t xml:space="preserve">RM: Documents, Sheets, Database</t>
  </si>
  <si>
    <t xml:space="preserve">CSP's own details form (link sent to CSPs)</t>
  </si>
  <si>
    <t xml:space="preserve">Sign-in and sign-up</t>
  </si>
  <si>
    <t xml:space="preserve">Area</t>
  </si>
  <si>
    <t xml:space="preserve">What</t>
  </si>
  <si>
    <t xml:space="preserve">Where</t>
  </si>
  <si>
    <t xml:space="preserve">Register No.</t>
  </si>
  <si>
    <t xml:space="preserve">Commit</t>
  </si>
  <si>
    <t xml:space="preserve">Data quality page: kept / confirmed / corrected counts, 'kept' rate (target above 75%), characters changed, week by week, list of corrections</t>
  </si>
  <si>
    <t xml:space="preserve">146</t>
  </si>
  <si>
    <t xml:space="preserve">b8c4f62</t>
  </si>
  <si>
    <t xml:space="preserve">'Context — what the app reads' table: each sheet, what it is used for, when last read in full, how often expected, why the newest read failed</t>
  </si>
  <si>
    <t xml:space="preserve">Admin → Setup → Data quality (top)</t>
  </si>
  <si>
    <t xml:space="preserve">147</t>
  </si>
  <si>
    <t xml:space="preserve">de58813</t>
  </si>
  <si>
    <t xml:space="preserve">'Auto-filled values — check or correct' list, with filters (Not checked / Corrected / Confirmed / All) and search</t>
  </si>
  <si>
    <t xml:space="preserve">Confirm button: marks an auto-filled value as right (writes nothing)</t>
  </si>
  <si>
    <t xml:space="preserve">Data quality → Auto-filled values</t>
  </si>
  <si>
    <t xml:space="preserve">Correct button: writes the right value to the CSP sheet (like the sheet editor); refused if the value changed since the page opened or the sheet cannot be written. Not for the RM name (it decides the owner)</t>
  </si>
  <si>
    <t xml:space="preserve">Freshness chips (CSP sheet, Sign-in list, Calling &amp; Lead sheets): green on time, amber late, red failed or stuck, grey never read</t>
  </si>
  <si>
    <t xml:space="preserve">The same freshness chips</t>
  </si>
  <si>
    <t xml:space="preserve">Note under each auto-filled value, e.g. 'From INFO tab · not checked by anyone yet'; hover for the reason</t>
  </si>
  <si>
    <t xml:space="preserve">Admin → search a CSP (top bar) → panel</t>
  </si>
  <si>
    <t xml:space="preserve">RBO row</t>
  </si>
  <si>
    <t xml:space="preserve">CSP panel (top-bar search)</t>
  </si>
  <si>
    <t xml:space="preserve">Address row</t>
  </si>
  <si>
    <t xml:space="preserve">Data quality moved from the main sidebar list into the Setup section</t>
  </si>
  <si>
    <t xml:space="preserve">Data quality item from the main sidebar list (it is now under Setup)</t>
  </si>
  <si>
    <t xml:space="preserve">Database table field_provenance: every value the app fills in by itself, where from, why, and whether a person kept or corrected it</t>
  </si>
  <si>
    <t xml:space="preserve">Database (applied by itself when the server starts)</t>
  </si>
  <si>
    <t xml:space="preserve">—</t>
  </si>
  <si>
    <t xml:space="preserve">Database table field_corrections: every change a person made to such a value — from what, to what, who, where, characters changed</t>
  </si>
  <si>
    <t xml:space="preserve">CSP sheet sync also records what INFO filled in, and notices edits made in the Google Sheet — in one step after all rows are saved (about 5 ms a minute)</t>
  </si>
  <si>
    <t xml:space="preserve">csp_sync_worker.py</t>
  </si>
  <si>
    <t xml:space="preserve">INFO mapping now also says WHY it chose each value (by branch, by district, by LHO and State…). The values it chooses are unchanged</t>
  </si>
  <si>
    <t xml:space="preserve">info_directory.py</t>
  </si>
  <si>
    <t xml:space="preserve">Zoho fill also records what it filled and from which Lead</t>
  </si>
  <si>
    <t xml:space="preserve">zoho_fill.py</t>
  </si>
  <si>
    <t xml:space="preserve">Address-tab fills, and rows copied into CSPDATA from the Calling / Lead sheets, record which cells were filled automatically</t>
  </si>
  <si>
    <t xml:space="preserve">source_sheets.py</t>
  </si>
  <si>
    <t xml:space="preserve">Calling &amp; Lead sheet job now records each run (so its chip works)</t>
  </si>
  <si>
    <t xml:space="preserve">source_sheets_worker.py</t>
  </si>
  <si>
    <t xml:space="preserve">CSP's form: when submitted, notes which auto-filled values they kept or changed</t>
  </si>
  <si>
    <t xml:space="preserve">csp_form_router.py</t>
  </si>
  <si>
    <t xml:space="preserve">In-app sheet editor: a change to an auto-filled value is recorded with the editor's name</t>
  </si>
  <si>
    <t xml:space="preserve">sheet_router.py</t>
  </si>
  <si>
    <t xml:space="preserve">Audit log entries for every Confirm and Correct on the Data quality page</t>
  </si>
  <si>
    <t xml:space="preserve">Audit log</t>
  </si>
  <si>
    <t xml:space="preserve">Server endpoints: freshness, scoreboard, corrections, values, confirm, correct</t>
  </si>
  <si>
    <t xml:space="preserve">quality_router.py</t>
  </si>
  <si>
    <t xml:space="preserve">146, 147</t>
  </si>
  <si>
    <t xml:space="preserve">b8c4f62, de58813</t>
  </si>
  <si>
    <t xml:space="preserve">Document / check</t>
  </si>
  <si>
    <t xml:space="preserve">60 golden cases: made-up CSP situations with their right answers (documents, AO / RBO / DC mapping, RM owner, holds, mobiles, Zoho address, what is asked, WhatsApp or email, old vs new)</t>
  </si>
  <si>
    <t xml:space="preserve">backend/tests/golden/cases.json</t>
  </si>
  <si>
    <t xml:space="preserve">101 new automatic checks: 39 for data quality, 62 golden checks (60 cases + 2 checks on the file itself, e.g. no real emails or numbers)</t>
  </si>
  <si>
    <t xml:space="preserve">test_field_quality.py, test_golden_cases.py</t>
  </si>
  <si>
    <t xml:space="preserve">Step: run the golden cases on the laptop before every push</t>
  </si>
  <si>
    <t xml:space="preserve">DEPLOY.md</t>
  </si>
  <si>
    <t xml:space="preserve">Made clear the golden cases run on the laptop, not on the server</t>
  </si>
  <si>
    <t xml:space="preserve">f484d3b</t>
  </si>
  <si>
    <t xml:space="preserve">Decisions D15 (auto-fill record), D16 (freshness), D17 (golden cases)</t>
  </si>
  <si>
    <t xml:space="preserve">AI_SPEC.md</t>
  </si>
  <si>
    <t xml:space="preserve">Requests No. 146 and No. 147</t>
  </si>
  <si>
    <t xml:space="preserve">PROJECT-REGISTER.md</t>
  </si>
  <si>
    <t xml:space="preserve">e0e1dfe, 3b90236</t>
  </si>
  <si>
    <t xml:space="preserve">A test stand-in for INFO did not accept the new 'why' — updated (test only)</t>
  </si>
  <si>
    <t xml:space="preserve">test_go_live_end_to_end.py</t>
  </si>
  <si>
    <t xml:space="preserve">Part of the flow</t>
  </si>
  <si>
    <t xml:space="preserve">After today's changes</t>
  </si>
  <si>
    <t xml:space="preserve">Documents</t>
  </si>
  <si>
    <t xml:space="preserve">Which documents are made, their contents, PDF, storage — unchanged</t>
  </si>
  <si>
    <t xml:space="preserve">Who is emailed, when, and the wording — unchanged (EMAILS_PAUSED still applies)</t>
  </si>
  <si>
    <t xml:space="preserve">WhatsApp</t>
  </si>
  <si>
    <t xml:space="preserve">Who is messaged, when, and the wording — unchanged</t>
  </si>
  <si>
    <t xml:space="preserve">Verification of old CSPs</t>
  </si>
  <si>
    <t xml:space="preserve">Who gets it and when — unchanged</t>
  </si>
  <si>
    <t xml:space="preserve">Holds</t>
  </si>
  <si>
    <t xml:space="preserve">Who is on hold and why — unchanged</t>
  </si>
  <si>
    <t xml:space="preserve">Old vs new CSPs</t>
  </si>
  <si>
    <t xml:space="preserve">Unchanged (checked by 8 golden cases)</t>
  </si>
  <si>
    <t xml:space="preserve">AO / RBO / DC mapping</t>
  </si>
  <si>
    <t xml:space="preserve">Same values chosen as before; it now also says why</t>
  </si>
  <si>
    <t xml:space="preserve">What a CSP is asked</t>
  </si>
  <si>
    <t xml:space="preserve">Unchanged (checked by golden cases)</t>
  </si>
  <si>
    <t xml:space="preserve">If recording fails</t>
  </si>
  <si>
    <t xml:space="preserve">The sync, form and sheet editor carry on; the error is logged (tested by breaking it on purpose)</t>
  </si>
  <si>
    <t xml:space="preserve">Details</t>
  </si>
  <si>
    <t xml:space="preserve">Status</t>
  </si>
  <si>
    <t xml:space="preserve">Update the server</t>
  </si>
  <si>
    <t xml:space="preserve">Backup the database, then git pull and docker compose up -d --build; check the log shows upgrade a7d2c4e6f8b1 and no errors.</t>
  </si>
  <si>
    <t xml:space="preserve">Waiting for you</t>
  </si>
  <si>
    <t xml:space="preserve">Look at the new screens</t>
  </si>
  <si>
    <t xml:space="preserve">Nobody has seen them in a browser yet (sign-in needs the emailed code). Check the chips, Setup → Data quality, the CSP panel notes.</t>
  </si>
  <si>
    <t xml:space="preserve">Laptop copy of the app</t>
  </si>
  <si>
    <t xml:space="preserve">To show the new screens on this laptop its database needs the two new tables — back it up first (your rule).</t>
  </si>
  <si>
    <t xml:space="preserve">Automatic golden check before every push</t>
  </si>
  <si>
    <t xml:space="preserve">A git check on the laptop that stops a push if a golden case fails.</t>
  </si>
  <si>
    <t xml:space="preserve">Offered — your choice</t>
  </si>
  <si>
    <t xml:space="preserve">Suggested fixes from repeated corrections</t>
  </si>
  <si>
    <t xml:space="preserve">Data quality would suggest an INFO fix when people correct the same thing the same way; an Admin approves.</t>
  </si>
  <si>
    <t xml:space="preserve">'Weaker match' flags</t>
  </si>
  <si>
    <t xml:space="preserve">Mark values matched only by district, or from the Zoho Business Address, so they are checked first.</t>
  </si>
  <si>
    <t xml:space="preserve">CLAUDE.md for the project</t>
  </si>
  <si>
    <t xml:space="preserve">A short file Claude Code reads automatically, pointing to the rules and logic files.</t>
  </si>
  <si>
    <t xml:space="preserve">Occasional test failure</t>
  </si>
  <si>
    <t xml:space="preserve">test_an_old_csp_gets_documents_once_they_answer failed once in a slow run and passed every time after (also seen 23 Oct, No. 143).</t>
  </si>
  <si>
    <t xml:space="preserve">To watch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</si>
</sst>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6F4EA"/>
        <bgColor rgb="FFEEF2F7"/>
      </patternFill>
    </fill>
    <fill>
      <patternFill patternType="solid">
        <fgColor rgb="FFE8F0FE"/>
        <bgColor rgb="FFEEF2F7"/>
      </patternFill>
    </fill>
    <fill>
      <patternFill patternType="solid">
        <fgColor rgb="FFFDECEA"/>
        <bgColor rgb="FFFFF4E5"/>
      </patternFill>
    </fill>
    <fill>
      <patternFill patternType="solid">
        <fgColor rgb="FFFFF4E5"/>
        <bgColor rgb="FFFDECEA"/>
      </patternFill>
    </fill>
    <fill>
      <patternFill patternType="solid">
        <fgColor rgb="FFEEF2F7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6F4E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EF2F7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nges" displayName="Changes" ref="A1:G31" headerRowCount="1" totalsRowCount="0" totalsRowShown="0">
  <autoFilter ref="A1:G31"/>
  <tableColumns count="7">
    <tableColumn id="1" name="Change"/>
    <tableColumn id="2" name="Area"/>
    <tableColumn id="3" name="What"/>
    <tableColumn id="4" name="Where"/>
    <tableColumn id="5" name="Who sees it"/>
    <tableColumn id="6" name="Register No."/>
    <tableColumn id="7" name="Commit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NotChanged" displayName="NotChanged" ref="A1:B10" headerRowCount="1" totalsRowCount="0" totalsRowShown="0">
  <autoFilter ref="A1:B10"/>
  <tableColumns count="2">
    <tableColumn id="1" name="Part of the flow"/>
    <tableColumn id="2" name="After today's change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ScreenByScreen" displayName="ScreenByScreen" ref="A1:E18" headerRowCount="1" totalsRowCount="0" totalsRowShown="0">
  <autoFilter ref="A1:E18"/>
  <tableColumns count="5">
    <tableColumn id="1" name="Screen"/>
    <tableColumn id="2" name="How to get there"/>
    <tableColumn id="3" name="Who sees it"/>
    <tableColumn id="4" name="Change"/>
    <tableColumn id="5" name="Exact chang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StillOpen" displayName="StillOpen" ref="A1:C9" headerRowCount="1" totalsRowCount="0" totalsRowShown="0">
  <autoFilter ref="A1:C9"/>
  <tableColumns count="3">
    <tableColumn id="1" name="What"/>
    <tableColumn id="2" name="Details"/>
    <tableColumn id="3" name="Statu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COUNTIFS(Changes!$A$2:$A$200,$A5,Changes!$B$2:$B$200,"Screen")</f>
        <v>10</v>
      </c>
      <c r="C5" s="5" t="n">
        <f aca="false">COUNTIFS(Changes!$A$2:$A$200,$A5,Changes!$B$2:$B$200,"Behind the scenes")</f>
        <v>4</v>
      </c>
      <c r="D5" s="5" t="n">
        <f aca="false">COUNTIFS(Changes!$A$2:$A$200,$A5,Changes!$B$2:$B$200,"Document / check")</f>
        <v>5</v>
      </c>
      <c r="E5" s="5" t="n">
        <f aca="false">SUM(B5:D5)</f>
        <v>19</v>
      </c>
    </row>
    <row r="6" customFormat="false" ht="15" hidden="false" customHeight="false" outlineLevel="0" collapsed="false">
      <c r="A6" s="6" t="s">
        <v>8</v>
      </c>
      <c r="B6" s="5" t="n">
        <f aca="false">COUNTIFS(Changes!$A$2:$A$200,$A6,Changes!$B$2:$B$200,"Screen")</f>
        <v>1</v>
      </c>
      <c r="C6" s="5" t="n">
        <f aca="false">COUNTIFS(Changes!$A$2:$A$200,$A6,Changes!$B$2:$B$200,"Behind the scenes")</f>
        <v>7</v>
      </c>
      <c r="D6" s="5" t="n">
        <f aca="false">COUNTIFS(Changes!$A$2:$A$200,$A6,Changes!$B$2:$B$200,"Document / check")</f>
        <v>1</v>
      </c>
      <c r="E6" s="5" t="n">
        <f aca="false">SUM(B6:D6)</f>
        <v>9</v>
      </c>
    </row>
    <row r="7" customFormat="false" ht="15" hidden="false" customHeight="false" outlineLevel="0" collapsed="false">
      <c r="A7" s="7" t="s">
        <v>9</v>
      </c>
      <c r="B7" s="5" t="n">
        <f aca="false">COUNTIFS(Changes!$A$2:$A$200,$A7,Changes!$B$2:$B$200,"Screen")</f>
        <v>1</v>
      </c>
      <c r="C7" s="5" t="n">
        <f aca="false">COUNTIFS(Changes!$A$2:$A$200,$A7,Changes!$B$2:$B$200,"Behind the scenes")</f>
        <v>0</v>
      </c>
      <c r="D7" s="5" t="n">
        <f aca="false">COUNTIFS(Changes!$A$2:$A$200,$A7,Changes!$B$2:$B$200,"Document / check")</f>
        <v>0</v>
      </c>
      <c r="E7" s="5" t="n">
        <f aca="false">SUM(B7:D7)</f>
        <v>1</v>
      </c>
    </row>
    <row r="8" customFormat="false" ht="15" hidden="false" customHeight="false" outlineLevel="0" collapsed="false">
      <c r="A8" s="8" t="s">
        <v>10</v>
      </c>
      <c r="B8" s="5" t="n">
        <f aca="false">COUNTIFS(Changes!$A$2:$A$200,$A8,Changes!$B$2:$B$200,"Screen")</f>
        <v>0</v>
      </c>
      <c r="C8" s="5" t="n">
        <f aca="false">COUNTIFS(Changes!$A$2:$A$200,$A8,Changes!$B$2:$B$200,"Behind the scenes")</f>
        <v>0</v>
      </c>
      <c r="D8" s="5" t="n">
        <f aca="false">COUNTIFS(Changes!$A$2:$A$200,$A8,Changes!$B$2:$B$200,"Document / check")</f>
        <v>1</v>
      </c>
      <c r="E8" s="5" t="n">
        <f aca="false">SUM(B8:D8)</f>
        <v>1</v>
      </c>
    </row>
    <row r="9" customFormat="false" ht="15" hidden="false" customHeight="false" outlineLevel="0" collapsed="false">
      <c r="A9" s="9" t="s">
        <v>6</v>
      </c>
      <c r="B9" s="9" t="n">
        <f aca="false">SUM(B5:B8)</f>
        <v>12</v>
      </c>
      <c r="C9" s="9" t="n">
        <f aca="false">SUM(C5:C8)</f>
        <v>11</v>
      </c>
      <c r="D9" s="9" t="n">
        <f aca="false">SUM(D5:D8)</f>
        <v>7</v>
      </c>
      <c r="E9" s="9" t="n">
        <f aca="false">SUM(E5:E8)</f>
        <v>30</v>
      </c>
    </row>
    <row r="11" customFormat="false" ht="15" hidden="false" customHeight="false" outlineLevel="0" collapsed="false">
      <c r="A11" s="10" t="s">
        <v>11</v>
      </c>
    </row>
    <row r="12" customFormat="false" ht="15" hidden="false" customHeight="false" outlineLevel="0" collapsed="false">
      <c r="A12" s="11" t="s">
        <v>12</v>
      </c>
      <c r="B12" s="11"/>
      <c r="C12" s="11"/>
      <c r="D12" s="11"/>
      <c r="E12" s="12" t="n">
        <v>1297</v>
      </c>
    </row>
    <row r="13" customFormat="false" ht="15" hidden="false" customHeight="false" outlineLevel="0" collapsed="false">
      <c r="A13" s="11" t="s">
        <v>13</v>
      </c>
      <c r="B13" s="11"/>
      <c r="C13" s="11"/>
      <c r="D13" s="11"/>
      <c r="E13" s="12" t="n">
        <v>62</v>
      </c>
    </row>
    <row r="14" customFormat="false" ht="15" hidden="false" customHeight="false" outlineLevel="0" collapsed="false">
      <c r="A14" s="11" t="s">
        <v>14</v>
      </c>
      <c r="B14" s="11"/>
      <c r="C14" s="11"/>
      <c r="D14" s="11"/>
      <c r="E14" s="12" t="n">
        <v>5</v>
      </c>
    </row>
    <row r="16" customFormat="false" ht="39.75" hidden="false" customHeight="true" outlineLevel="0" collapsed="false">
      <c r="A16" s="13" t="s">
        <v>15</v>
      </c>
      <c r="B16" s="13"/>
      <c r="C16" s="13"/>
      <c r="D16" s="13"/>
      <c r="E16" s="13"/>
    </row>
  </sheetData>
  <mergeCells count="5">
    <mergeCell ref="A2:C2"/>
    <mergeCell ref="A12:D12"/>
    <mergeCell ref="A13:D13"/>
    <mergeCell ref="A14:D14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5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2</v>
      </c>
      <c r="E1" s="3" t="s">
        <v>19</v>
      </c>
    </row>
    <row r="2" customFormat="false" ht="24" hidden="false" customHeight="false" outlineLevel="0" collapsed="false">
      <c r="A2" s="5" t="s">
        <v>20</v>
      </c>
      <c r="B2" s="5" t="s">
        <v>21</v>
      </c>
      <c r="C2" s="5" t="s">
        <v>22</v>
      </c>
      <c r="D2" s="4" t="s">
        <v>7</v>
      </c>
      <c r="E2" s="5" t="s">
        <v>23</v>
      </c>
    </row>
    <row r="3" customFormat="false" ht="24" hidden="false" customHeight="false" outlineLevel="0" collapsed="false">
      <c r="A3" s="5" t="s">
        <v>20</v>
      </c>
      <c r="B3" s="5" t="s">
        <v>21</v>
      </c>
      <c r="C3" s="5" t="s">
        <v>22</v>
      </c>
      <c r="D3" s="7" t="s">
        <v>9</v>
      </c>
      <c r="E3" s="5" t="s">
        <v>24</v>
      </c>
    </row>
    <row r="4" customFormat="false" ht="46" hidden="false" customHeight="false" outlineLevel="0" collapsed="false">
      <c r="A4" s="5" t="s">
        <v>25</v>
      </c>
      <c r="B4" s="5" t="s">
        <v>26</v>
      </c>
      <c r="C4" s="5" t="s">
        <v>22</v>
      </c>
      <c r="D4" s="4" t="s">
        <v>7</v>
      </c>
      <c r="E4" s="5" t="s">
        <v>27</v>
      </c>
    </row>
    <row r="5" customFormat="false" ht="15" hidden="false" customHeight="false" outlineLevel="0" collapsed="false">
      <c r="A5" s="5" t="s">
        <v>28</v>
      </c>
      <c r="B5" s="5" t="s">
        <v>29</v>
      </c>
      <c r="C5" s="5" t="s">
        <v>30</v>
      </c>
      <c r="D5" s="4" t="s">
        <v>7</v>
      </c>
      <c r="E5" s="5" t="s">
        <v>31</v>
      </c>
    </row>
    <row r="6" customFormat="false" ht="24" hidden="false" customHeight="false" outlineLevel="0" collapsed="false">
      <c r="A6" s="5" t="s">
        <v>32</v>
      </c>
      <c r="B6" s="5" t="s">
        <v>33</v>
      </c>
      <c r="C6" s="5" t="s">
        <v>22</v>
      </c>
      <c r="D6" s="4" t="s">
        <v>7</v>
      </c>
      <c r="E6" s="5" t="s">
        <v>34</v>
      </c>
    </row>
    <row r="7" customFormat="false" ht="24" hidden="false" customHeight="false" outlineLevel="0" collapsed="false">
      <c r="A7" s="5" t="s">
        <v>32</v>
      </c>
      <c r="B7" s="5" t="s">
        <v>33</v>
      </c>
      <c r="C7" s="5" t="s">
        <v>22</v>
      </c>
      <c r="D7" s="4" t="s">
        <v>7</v>
      </c>
      <c r="E7" s="5" t="s">
        <v>35</v>
      </c>
    </row>
    <row r="8" customFormat="false" ht="35" hidden="false" customHeight="false" outlineLevel="0" collapsed="false">
      <c r="A8" s="5" t="s">
        <v>32</v>
      </c>
      <c r="B8" s="5" t="s">
        <v>33</v>
      </c>
      <c r="C8" s="5" t="s">
        <v>22</v>
      </c>
      <c r="D8" s="4" t="s">
        <v>7</v>
      </c>
      <c r="E8" s="5" t="s">
        <v>36</v>
      </c>
    </row>
    <row r="9" customFormat="false" ht="24" hidden="false" customHeight="false" outlineLevel="0" collapsed="false">
      <c r="A9" s="5" t="s">
        <v>32</v>
      </c>
      <c r="B9" s="5" t="s">
        <v>33</v>
      </c>
      <c r="C9" s="5" t="s">
        <v>22</v>
      </c>
      <c r="D9" s="4" t="s">
        <v>7</v>
      </c>
      <c r="E9" s="5" t="s">
        <v>37</v>
      </c>
    </row>
    <row r="10" customFormat="false" ht="24" hidden="false" customHeight="false" outlineLevel="0" collapsed="false">
      <c r="A10" s="5" t="s">
        <v>38</v>
      </c>
      <c r="B10" s="5" t="s">
        <v>39</v>
      </c>
      <c r="C10" s="5" t="s">
        <v>22</v>
      </c>
      <c r="D10" s="4" t="s">
        <v>7</v>
      </c>
      <c r="E10" s="5" t="s">
        <v>40</v>
      </c>
    </row>
    <row r="11" customFormat="false" ht="35" hidden="false" customHeight="false" outlineLevel="0" collapsed="false">
      <c r="A11" s="5" t="s">
        <v>38</v>
      </c>
      <c r="B11" s="5" t="s">
        <v>39</v>
      </c>
      <c r="C11" s="5" t="s">
        <v>22</v>
      </c>
      <c r="D11" s="4" t="s">
        <v>7</v>
      </c>
      <c r="E11" s="5" t="s">
        <v>41</v>
      </c>
    </row>
    <row r="12" customFormat="false" ht="24" hidden="false" customHeight="false" outlineLevel="0" collapsed="false">
      <c r="A12" s="5" t="s">
        <v>38</v>
      </c>
      <c r="B12" s="5" t="s">
        <v>42</v>
      </c>
      <c r="C12" s="5" t="s">
        <v>22</v>
      </c>
      <c r="D12" s="4" t="s">
        <v>7</v>
      </c>
      <c r="E12" s="5" t="s">
        <v>43</v>
      </c>
    </row>
    <row r="13" customFormat="false" ht="35" hidden="false" customHeight="false" outlineLevel="0" collapsed="false">
      <c r="A13" s="5" t="s">
        <v>38</v>
      </c>
      <c r="B13" s="5" t="s">
        <v>42</v>
      </c>
      <c r="C13" s="5" t="s">
        <v>22</v>
      </c>
      <c r="D13" s="4" t="s">
        <v>7</v>
      </c>
      <c r="E13" s="5" t="s">
        <v>44</v>
      </c>
    </row>
    <row r="14" customFormat="false" ht="24" hidden="false" customHeight="false" outlineLevel="0" collapsed="false">
      <c r="A14" s="5" t="s">
        <v>38</v>
      </c>
      <c r="B14" s="5" t="s">
        <v>42</v>
      </c>
      <c r="C14" s="5" t="s">
        <v>22</v>
      </c>
      <c r="D14" s="4" t="s">
        <v>7</v>
      </c>
      <c r="E14" s="5" t="s">
        <v>45</v>
      </c>
    </row>
    <row r="15" customFormat="false" ht="24" hidden="false" customHeight="false" outlineLevel="0" collapsed="false">
      <c r="A15" s="5" t="s">
        <v>38</v>
      </c>
      <c r="B15" s="5" t="s">
        <v>39</v>
      </c>
      <c r="C15" s="5" t="s">
        <v>22</v>
      </c>
      <c r="D15" s="4" t="s">
        <v>7</v>
      </c>
      <c r="E15" s="5" t="s">
        <v>46</v>
      </c>
    </row>
    <row r="16" customFormat="false" ht="24" hidden="false" customHeight="false" outlineLevel="0" collapsed="false">
      <c r="A16" s="5" t="s">
        <v>38</v>
      </c>
      <c r="B16" s="5" t="s">
        <v>39</v>
      </c>
      <c r="C16" s="5" t="s">
        <v>22</v>
      </c>
      <c r="D16" s="4" t="s">
        <v>7</v>
      </c>
      <c r="E16" s="5" t="s">
        <v>47</v>
      </c>
    </row>
    <row r="17" customFormat="false" ht="15" hidden="false" customHeight="false" outlineLevel="0" collapsed="false">
      <c r="A17" s="5" t="s">
        <v>38</v>
      </c>
      <c r="B17" s="5" t="s">
        <v>39</v>
      </c>
      <c r="C17" s="5" t="s">
        <v>22</v>
      </c>
      <c r="D17" s="4" t="s">
        <v>7</v>
      </c>
      <c r="E17" s="5" t="s">
        <v>48</v>
      </c>
    </row>
    <row r="18" customFormat="false" ht="24" hidden="false" customHeight="false" outlineLevel="0" collapsed="false">
      <c r="A18" s="5" t="s">
        <v>38</v>
      </c>
      <c r="B18" s="5" t="s">
        <v>49</v>
      </c>
      <c r="C18" s="5" t="s">
        <v>22</v>
      </c>
      <c r="D18" s="4" t="s">
        <v>7</v>
      </c>
      <c r="E18" s="5" t="s">
        <v>50</v>
      </c>
    </row>
    <row r="20" customFormat="false" ht="15" hidden="false" customHeight="false" outlineLevel="0" collapsed="false">
      <c r="A20" s="10" t="s">
        <v>51</v>
      </c>
    </row>
    <row r="21" customFormat="false" ht="15" hidden="false" customHeight="false" outlineLevel="0" collapsed="false">
      <c r="A21" s="11" t="s">
        <v>52</v>
      </c>
      <c r="B21" s="11"/>
      <c r="C21" s="11"/>
    </row>
    <row r="22" customFormat="false" ht="15" hidden="false" customHeight="false" outlineLevel="0" collapsed="false">
      <c r="A22" s="11" t="s">
        <v>53</v>
      </c>
      <c r="B22" s="11"/>
      <c r="C22" s="11"/>
    </row>
    <row r="23" customFormat="false" ht="15" hidden="false" customHeight="false" outlineLevel="0" collapsed="false">
      <c r="A23" s="11" t="s">
        <v>54</v>
      </c>
      <c r="B23" s="11"/>
      <c r="C23" s="11"/>
    </row>
    <row r="24" customFormat="false" ht="15" hidden="false" customHeight="false" outlineLevel="0" collapsed="false">
      <c r="A24" s="11" t="s">
        <v>55</v>
      </c>
      <c r="B24" s="11"/>
      <c r="C24" s="11"/>
    </row>
    <row r="25" customFormat="false" ht="15" hidden="false" customHeight="false" outlineLevel="0" collapsed="false">
      <c r="A25" s="11" t="s">
        <v>56</v>
      </c>
      <c r="B25" s="11"/>
      <c r="C25" s="11"/>
    </row>
    <row r="26" customFormat="false" ht="15" hidden="false" customHeight="false" outlineLevel="0" collapsed="false">
      <c r="A26" s="11" t="s">
        <v>57</v>
      </c>
      <c r="B26" s="11"/>
      <c r="C26" s="11"/>
    </row>
    <row r="27" customFormat="false" ht="15" hidden="false" customHeight="false" outlineLevel="0" collapsed="false">
      <c r="A27" s="11" t="s">
        <v>58</v>
      </c>
      <c r="B27" s="11"/>
      <c r="C27" s="11"/>
    </row>
    <row r="28" customFormat="false" ht="15" hidden="false" customHeight="false" outlineLevel="0" collapsed="false">
      <c r="A28" s="11" t="s">
        <v>59</v>
      </c>
      <c r="B28" s="11"/>
      <c r="C28" s="11"/>
    </row>
    <row r="29" customFormat="false" ht="15" hidden="false" customHeight="false" outlineLevel="0" collapsed="false">
      <c r="A29" s="11" t="s">
        <v>60</v>
      </c>
      <c r="B29" s="11"/>
      <c r="C29" s="11"/>
    </row>
    <row r="30" customFormat="false" ht="15" hidden="false" customHeight="false" outlineLevel="0" collapsed="false">
      <c r="A30" s="11" t="s">
        <v>61</v>
      </c>
      <c r="B30" s="11"/>
      <c r="C30" s="11"/>
    </row>
    <row r="31" customFormat="false" ht="15" hidden="false" customHeight="false" outlineLevel="0" collapsed="false">
      <c r="A31" s="11" t="s">
        <v>62</v>
      </c>
      <c r="B31" s="11"/>
      <c r="C31" s="11"/>
    </row>
    <row r="32" customFormat="false" ht="15" hidden="false" customHeight="false" outlineLevel="0" collapsed="false">
      <c r="A32" s="11" t="s">
        <v>63</v>
      </c>
      <c r="B32" s="11"/>
      <c r="C32" s="11"/>
    </row>
    <row r="33" customFormat="false" ht="15" hidden="false" customHeight="false" outlineLevel="0" collapsed="false">
      <c r="A33" s="11" t="s">
        <v>64</v>
      </c>
      <c r="B33" s="11"/>
      <c r="C33" s="11"/>
    </row>
    <row r="34" customFormat="false" ht="15" hidden="false" customHeight="false" outlineLevel="0" collapsed="false">
      <c r="A34" s="11" t="s">
        <v>65</v>
      </c>
      <c r="B34" s="11"/>
      <c r="C34" s="11"/>
    </row>
    <row r="35" customFormat="false" ht="15" hidden="false" customHeight="false" outlineLevel="0" collapsed="false">
      <c r="A35" s="11" t="s">
        <v>66</v>
      </c>
      <c r="B35" s="11"/>
      <c r="C35" s="11"/>
    </row>
  </sheetData>
  <mergeCells count="15"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7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4" hidden="false" customHeight="false" outlineLevel="0" collapsed="false">
      <c r="A1" s="3" t="s">
        <v>2</v>
      </c>
      <c r="B1" s="3" t="s">
        <v>67</v>
      </c>
      <c r="C1" s="3" t="s">
        <v>68</v>
      </c>
      <c r="D1" s="3" t="s">
        <v>69</v>
      </c>
      <c r="E1" s="3" t="s">
        <v>18</v>
      </c>
      <c r="F1" s="3" t="s">
        <v>70</v>
      </c>
      <c r="G1" s="3" t="s">
        <v>71</v>
      </c>
    </row>
    <row r="2" customFormat="false" ht="24" hidden="false" customHeight="false" outlineLevel="0" collapsed="false">
      <c r="A2" s="4" t="s">
        <v>7</v>
      </c>
      <c r="B2" s="5" t="s">
        <v>16</v>
      </c>
      <c r="C2" s="5" t="s">
        <v>72</v>
      </c>
      <c r="D2" s="5" t="s">
        <v>39</v>
      </c>
      <c r="E2" s="5" t="s">
        <v>22</v>
      </c>
      <c r="F2" s="5" t="s">
        <v>73</v>
      </c>
      <c r="G2" s="5" t="s">
        <v>74</v>
      </c>
    </row>
    <row r="3" customFormat="false" ht="24" hidden="false" customHeight="false" outlineLevel="0" collapsed="false">
      <c r="A3" s="4" t="s">
        <v>7</v>
      </c>
      <c r="B3" s="5" t="s">
        <v>16</v>
      </c>
      <c r="C3" s="5" t="s">
        <v>75</v>
      </c>
      <c r="D3" s="5" t="s">
        <v>76</v>
      </c>
      <c r="E3" s="5" t="s">
        <v>22</v>
      </c>
      <c r="F3" s="5" t="s">
        <v>77</v>
      </c>
      <c r="G3" s="5" t="s">
        <v>78</v>
      </c>
    </row>
    <row r="4" customFormat="false" ht="24" hidden="false" customHeight="false" outlineLevel="0" collapsed="false">
      <c r="A4" s="4" t="s">
        <v>7</v>
      </c>
      <c r="B4" s="5" t="s">
        <v>16</v>
      </c>
      <c r="C4" s="5" t="s">
        <v>79</v>
      </c>
      <c r="D4" s="5" t="s">
        <v>39</v>
      </c>
      <c r="E4" s="5" t="s">
        <v>22</v>
      </c>
      <c r="F4" s="5" t="s">
        <v>77</v>
      </c>
      <c r="G4" s="5" t="s">
        <v>78</v>
      </c>
    </row>
    <row r="5" customFormat="false" ht="15" hidden="false" customHeight="false" outlineLevel="0" collapsed="false">
      <c r="A5" s="4" t="s">
        <v>7</v>
      </c>
      <c r="B5" s="5" t="s">
        <v>16</v>
      </c>
      <c r="C5" s="5" t="s">
        <v>80</v>
      </c>
      <c r="D5" s="5" t="s">
        <v>81</v>
      </c>
      <c r="E5" s="5" t="s">
        <v>22</v>
      </c>
      <c r="F5" s="5" t="s">
        <v>77</v>
      </c>
      <c r="G5" s="5" t="s">
        <v>78</v>
      </c>
    </row>
    <row r="6" customFormat="false" ht="35" hidden="false" customHeight="false" outlineLevel="0" collapsed="false">
      <c r="A6" s="4" t="s">
        <v>7</v>
      </c>
      <c r="B6" s="5" t="s">
        <v>16</v>
      </c>
      <c r="C6" s="5" t="s">
        <v>82</v>
      </c>
      <c r="D6" s="5" t="s">
        <v>81</v>
      </c>
      <c r="E6" s="5" t="s">
        <v>22</v>
      </c>
      <c r="F6" s="5" t="s">
        <v>77</v>
      </c>
      <c r="G6" s="5" t="s">
        <v>78</v>
      </c>
    </row>
    <row r="7" customFormat="false" ht="24" hidden="false" customHeight="false" outlineLevel="0" collapsed="false">
      <c r="A7" s="4" t="s">
        <v>7</v>
      </c>
      <c r="B7" s="5" t="s">
        <v>16</v>
      </c>
      <c r="C7" s="5" t="s">
        <v>83</v>
      </c>
      <c r="D7" s="5" t="s">
        <v>26</v>
      </c>
      <c r="E7" s="5" t="s">
        <v>22</v>
      </c>
      <c r="F7" s="5" t="s">
        <v>73</v>
      </c>
      <c r="G7" s="5" t="s">
        <v>74</v>
      </c>
    </row>
    <row r="8" customFormat="false" ht="15" hidden="false" customHeight="false" outlineLevel="0" collapsed="false">
      <c r="A8" s="4" t="s">
        <v>7</v>
      </c>
      <c r="B8" s="5" t="s">
        <v>16</v>
      </c>
      <c r="C8" s="5" t="s">
        <v>84</v>
      </c>
      <c r="D8" s="5" t="s">
        <v>29</v>
      </c>
      <c r="E8" s="5" t="s">
        <v>30</v>
      </c>
      <c r="F8" s="5" t="s">
        <v>73</v>
      </c>
      <c r="G8" s="5" t="s">
        <v>74</v>
      </c>
    </row>
    <row r="9" customFormat="false" ht="24" hidden="false" customHeight="false" outlineLevel="0" collapsed="false">
      <c r="A9" s="4" t="s">
        <v>7</v>
      </c>
      <c r="B9" s="5" t="s">
        <v>16</v>
      </c>
      <c r="C9" s="5" t="s">
        <v>85</v>
      </c>
      <c r="D9" s="5" t="s">
        <v>86</v>
      </c>
      <c r="E9" s="5" t="s">
        <v>22</v>
      </c>
      <c r="F9" s="5" t="s">
        <v>73</v>
      </c>
      <c r="G9" s="5" t="s">
        <v>74</v>
      </c>
    </row>
    <row r="10" customFormat="false" ht="15" hidden="false" customHeight="false" outlineLevel="0" collapsed="false">
      <c r="A10" s="4" t="s">
        <v>7</v>
      </c>
      <c r="B10" s="5" t="s">
        <v>16</v>
      </c>
      <c r="C10" s="5" t="s">
        <v>87</v>
      </c>
      <c r="D10" s="5" t="s">
        <v>88</v>
      </c>
      <c r="E10" s="5" t="s">
        <v>22</v>
      </c>
      <c r="F10" s="5" t="s">
        <v>73</v>
      </c>
      <c r="G10" s="5" t="s">
        <v>74</v>
      </c>
    </row>
    <row r="11" customFormat="false" ht="15" hidden="false" customHeight="false" outlineLevel="0" collapsed="false">
      <c r="A11" s="4" t="s">
        <v>7</v>
      </c>
      <c r="B11" s="5" t="s">
        <v>16</v>
      </c>
      <c r="C11" s="5" t="s">
        <v>89</v>
      </c>
      <c r="D11" s="5" t="s">
        <v>88</v>
      </c>
      <c r="E11" s="5" t="s">
        <v>22</v>
      </c>
      <c r="F11" s="5" t="s">
        <v>73</v>
      </c>
      <c r="G11" s="5" t="s">
        <v>74</v>
      </c>
    </row>
    <row r="12" customFormat="false" ht="15" hidden="false" customHeight="false" outlineLevel="0" collapsed="false">
      <c r="A12" s="6" t="s">
        <v>8</v>
      </c>
      <c r="B12" s="5" t="s">
        <v>16</v>
      </c>
      <c r="C12" s="5" t="s">
        <v>90</v>
      </c>
      <c r="D12" s="5" t="s">
        <v>20</v>
      </c>
      <c r="E12" s="5" t="s">
        <v>22</v>
      </c>
      <c r="F12" s="5" t="s">
        <v>77</v>
      </c>
      <c r="G12" s="5" t="s">
        <v>78</v>
      </c>
    </row>
    <row r="13" customFormat="false" ht="15" hidden="false" customHeight="false" outlineLevel="0" collapsed="false">
      <c r="A13" s="7" t="s">
        <v>9</v>
      </c>
      <c r="B13" s="5" t="s">
        <v>16</v>
      </c>
      <c r="C13" s="5" t="s">
        <v>91</v>
      </c>
      <c r="D13" s="5" t="s">
        <v>20</v>
      </c>
      <c r="E13" s="5" t="s">
        <v>22</v>
      </c>
      <c r="F13" s="5" t="s">
        <v>77</v>
      </c>
      <c r="G13" s="5" t="s">
        <v>78</v>
      </c>
    </row>
    <row r="14" customFormat="false" ht="24" hidden="false" customHeight="false" outlineLevel="0" collapsed="false">
      <c r="A14" s="4" t="s">
        <v>7</v>
      </c>
      <c r="B14" s="5" t="s">
        <v>4</v>
      </c>
      <c r="C14" s="5" t="s">
        <v>92</v>
      </c>
      <c r="D14" s="5" t="s">
        <v>93</v>
      </c>
      <c r="E14" s="5" t="s">
        <v>94</v>
      </c>
      <c r="F14" s="5" t="s">
        <v>73</v>
      </c>
      <c r="G14" s="5" t="s">
        <v>74</v>
      </c>
    </row>
    <row r="15" customFormat="false" ht="24" hidden="false" customHeight="false" outlineLevel="0" collapsed="false">
      <c r="A15" s="4" t="s">
        <v>7</v>
      </c>
      <c r="B15" s="5" t="s">
        <v>4</v>
      </c>
      <c r="C15" s="5" t="s">
        <v>95</v>
      </c>
      <c r="D15" s="5" t="s">
        <v>58</v>
      </c>
      <c r="E15" s="5" t="s">
        <v>94</v>
      </c>
      <c r="F15" s="5" t="s">
        <v>73</v>
      </c>
      <c r="G15" s="5" t="s">
        <v>74</v>
      </c>
    </row>
    <row r="16" customFormat="false" ht="24" hidden="false" customHeight="false" outlineLevel="0" collapsed="false">
      <c r="A16" s="6" t="s">
        <v>8</v>
      </c>
      <c r="B16" s="5" t="s">
        <v>4</v>
      </c>
      <c r="C16" s="5" t="s">
        <v>96</v>
      </c>
      <c r="D16" s="5" t="s">
        <v>97</v>
      </c>
      <c r="E16" s="5" t="s">
        <v>94</v>
      </c>
      <c r="F16" s="5" t="s">
        <v>73</v>
      </c>
      <c r="G16" s="5" t="s">
        <v>74</v>
      </c>
    </row>
    <row r="17" customFormat="false" ht="24" hidden="false" customHeight="false" outlineLevel="0" collapsed="false">
      <c r="A17" s="6" t="s">
        <v>8</v>
      </c>
      <c r="B17" s="5" t="s">
        <v>4</v>
      </c>
      <c r="C17" s="5" t="s">
        <v>98</v>
      </c>
      <c r="D17" s="5" t="s">
        <v>99</v>
      </c>
      <c r="E17" s="5" t="s">
        <v>94</v>
      </c>
      <c r="F17" s="5" t="s">
        <v>73</v>
      </c>
      <c r="G17" s="5" t="s">
        <v>74</v>
      </c>
    </row>
    <row r="18" customFormat="false" ht="15" hidden="false" customHeight="false" outlineLevel="0" collapsed="false">
      <c r="A18" s="6" t="s">
        <v>8</v>
      </c>
      <c r="B18" s="5" t="s">
        <v>4</v>
      </c>
      <c r="C18" s="5" t="s">
        <v>100</v>
      </c>
      <c r="D18" s="5" t="s">
        <v>101</v>
      </c>
      <c r="E18" s="5" t="s">
        <v>94</v>
      </c>
      <c r="F18" s="5" t="s">
        <v>73</v>
      </c>
      <c r="G18" s="5" t="s">
        <v>74</v>
      </c>
    </row>
    <row r="19" customFormat="false" ht="24" hidden="false" customHeight="false" outlineLevel="0" collapsed="false">
      <c r="A19" s="6" t="s">
        <v>8</v>
      </c>
      <c r="B19" s="5" t="s">
        <v>4</v>
      </c>
      <c r="C19" s="5" t="s">
        <v>102</v>
      </c>
      <c r="D19" s="5" t="s">
        <v>103</v>
      </c>
      <c r="E19" s="5" t="s">
        <v>94</v>
      </c>
      <c r="F19" s="5" t="s">
        <v>73</v>
      </c>
      <c r="G19" s="5" t="s">
        <v>74</v>
      </c>
    </row>
    <row r="20" customFormat="false" ht="15" hidden="false" customHeight="false" outlineLevel="0" collapsed="false">
      <c r="A20" s="6" t="s">
        <v>8</v>
      </c>
      <c r="B20" s="5" t="s">
        <v>4</v>
      </c>
      <c r="C20" s="5" t="s">
        <v>104</v>
      </c>
      <c r="D20" s="5" t="s">
        <v>105</v>
      </c>
      <c r="E20" s="5" t="s">
        <v>94</v>
      </c>
      <c r="F20" s="5" t="s">
        <v>73</v>
      </c>
      <c r="G20" s="5" t="s">
        <v>74</v>
      </c>
    </row>
    <row r="21" customFormat="false" ht="15" hidden="false" customHeight="false" outlineLevel="0" collapsed="false">
      <c r="A21" s="6" t="s">
        <v>8</v>
      </c>
      <c r="B21" s="5" t="s">
        <v>4</v>
      </c>
      <c r="C21" s="5" t="s">
        <v>106</v>
      </c>
      <c r="D21" s="5" t="s">
        <v>107</v>
      </c>
      <c r="E21" s="5" t="s">
        <v>94</v>
      </c>
      <c r="F21" s="5" t="s">
        <v>73</v>
      </c>
      <c r="G21" s="5" t="s">
        <v>74</v>
      </c>
    </row>
    <row r="22" customFormat="false" ht="15" hidden="false" customHeight="false" outlineLevel="0" collapsed="false">
      <c r="A22" s="6" t="s">
        <v>8</v>
      </c>
      <c r="B22" s="5" t="s">
        <v>4</v>
      </c>
      <c r="C22" s="5" t="s">
        <v>108</v>
      </c>
      <c r="D22" s="5" t="s">
        <v>109</v>
      </c>
      <c r="E22" s="5" t="s">
        <v>94</v>
      </c>
      <c r="F22" s="5" t="s">
        <v>73</v>
      </c>
      <c r="G22" s="5" t="s">
        <v>74</v>
      </c>
    </row>
    <row r="23" customFormat="false" ht="15" hidden="false" customHeight="false" outlineLevel="0" collapsed="false">
      <c r="A23" s="4" t="s">
        <v>7</v>
      </c>
      <c r="B23" s="5" t="s">
        <v>4</v>
      </c>
      <c r="C23" s="5" t="s">
        <v>110</v>
      </c>
      <c r="D23" s="5" t="s">
        <v>111</v>
      </c>
      <c r="E23" s="5" t="s">
        <v>94</v>
      </c>
      <c r="F23" s="5" t="s">
        <v>77</v>
      </c>
      <c r="G23" s="5" t="s">
        <v>78</v>
      </c>
    </row>
    <row r="24" customFormat="false" ht="15" hidden="false" customHeight="false" outlineLevel="0" collapsed="false">
      <c r="A24" s="4" t="s">
        <v>7</v>
      </c>
      <c r="B24" s="5" t="s">
        <v>4</v>
      </c>
      <c r="C24" s="5" t="s">
        <v>112</v>
      </c>
      <c r="D24" s="5" t="s">
        <v>113</v>
      </c>
      <c r="E24" s="5" t="s">
        <v>94</v>
      </c>
      <c r="F24" s="5" t="s">
        <v>114</v>
      </c>
      <c r="G24" s="5" t="s">
        <v>115</v>
      </c>
    </row>
    <row r="25" customFormat="false" ht="35" hidden="false" customHeight="false" outlineLevel="0" collapsed="false">
      <c r="A25" s="4" t="s">
        <v>7</v>
      </c>
      <c r="B25" s="5" t="s">
        <v>116</v>
      </c>
      <c r="C25" s="5" t="s">
        <v>117</v>
      </c>
      <c r="D25" s="5" t="s">
        <v>118</v>
      </c>
      <c r="E25" s="5" t="s">
        <v>94</v>
      </c>
      <c r="F25" s="5" t="s">
        <v>73</v>
      </c>
      <c r="G25" s="5" t="s">
        <v>74</v>
      </c>
    </row>
    <row r="26" customFormat="false" ht="24" hidden="false" customHeight="false" outlineLevel="0" collapsed="false">
      <c r="A26" s="4" t="s">
        <v>7</v>
      </c>
      <c r="B26" s="5" t="s">
        <v>116</v>
      </c>
      <c r="C26" s="5" t="s">
        <v>119</v>
      </c>
      <c r="D26" s="5" t="s">
        <v>120</v>
      </c>
      <c r="E26" s="5" t="s">
        <v>94</v>
      </c>
      <c r="F26" s="5" t="s">
        <v>114</v>
      </c>
      <c r="G26" s="5" t="s">
        <v>115</v>
      </c>
    </row>
    <row r="27" customFormat="false" ht="15" hidden="false" customHeight="false" outlineLevel="0" collapsed="false">
      <c r="A27" s="4" t="s">
        <v>7</v>
      </c>
      <c r="B27" s="5" t="s">
        <v>116</v>
      </c>
      <c r="C27" s="5" t="s">
        <v>121</v>
      </c>
      <c r="D27" s="5" t="s">
        <v>122</v>
      </c>
      <c r="E27" s="5" t="s">
        <v>94</v>
      </c>
      <c r="F27" s="5" t="s">
        <v>73</v>
      </c>
      <c r="G27" s="5" t="s">
        <v>74</v>
      </c>
    </row>
    <row r="28" customFormat="false" ht="15" hidden="false" customHeight="false" outlineLevel="0" collapsed="false">
      <c r="A28" s="6" t="s">
        <v>8</v>
      </c>
      <c r="B28" s="5" t="s">
        <v>116</v>
      </c>
      <c r="C28" s="5" t="s">
        <v>123</v>
      </c>
      <c r="D28" s="5" t="s">
        <v>122</v>
      </c>
      <c r="E28" s="5" t="s">
        <v>94</v>
      </c>
      <c r="F28" s="5" t="s">
        <v>94</v>
      </c>
      <c r="G28" s="5" t="s">
        <v>124</v>
      </c>
    </row>
    <row r="29" customFormat="false" ht="15" hidden="false" customHeight="false" outlineLevel="0" collapsed="false">
      <c r="A29" s="4" t="s">
        <v>7</v>
      </c>
      <c r="B29" s="5" t="s">
        <v>116</v>
      </c>
      <c r="C29" s="5" t="s">
        <v>125</v>
      </c>
      <c r="D29" s="5" t="s">
        <v>126</v>
      </c>
      <c r="E29" s="5" t="s">
        <v>94</v>
      </c>
      <c r="F29" s="5" t="s">
        <v>73</v>
      </c>
      <c r="G29" s="5" t="s">
        <v>74</v>
      </c>
    </row>
    <row r="30" customFormat="false" ht="15" hidden="false" customHeight="false" outlineLevel="0" collapsed="false">
      <c r="A30" s="4" t="s">
        <v>7</v>
      </c>
      <c r="B30" s="5" t="s">
        <v>116</v>
      </c>
      <c r="C30" s="5" t="s">
        <v>127</v>
      </c>
      <c r="D30" s="5" t="s">
        <v>128</v>
      </c>
      <c r="E30" s="5" t="s">
        <v>94</v>
      </c>
      <c r="F30" s="5" t="s">
        <v>114</v>
      </c>
      <c r="G30" s="5" t="s">
        <v>129</v>
      </c>
    </row>
    <row r="31" customFormat="false" ht="15" hidden="false" customHeight="false" outlineLevel="0" collapsed="false">
      <c r="A31" s="8" t="s">
        <v>10</v>
      </c>
      <c r="B31" s="5" t="s">
        <v>116</v>
      </c>
      <c r="C31" s="5" t="s">
        <v>130</v>
      </c>
      <c r="D31" s="5" t="s">
        <v>131</v>
      </c>
      <c r="E31" s="5" t="s">
        <v>94</v>
      </c>
      <c r="F31" s="5" t="s">
        <v>73</v>
      </c>
      <c r="G31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132</v>
      </c>
      <c r="B1" s="3" t="s">
        <v>133</v>
      </c>
    </row>
    <row r="2" customFormat="false" ht="15" hidden="false" customHeight="false" outlineLevel="0" collapsed="false">
      <c r="A2" s="5" t="s">
        <v>134</v>
      </c>
      <c r="B2" s="5" t="s">
        <v>135</v>
      </c>
    </row>
    <row r="3" customFormat="false" ht="15" hidden="false" customHeight="false" outlineLevel="0" collapsed="false">
      <c r="A3" s="5" t="s">
        <v>53</v>
      </c>
      <c r="B3" s="5" t="s">
        <v>136</v>
      </c>
    </row>
    <row r="4" customFormat="false" ht="15" hidden="false" customHeight="false" outlineLevel="0" collapsed="false">
      <c r="A4" s="5" t="s">
        <v>137</v>
      </c>
      <c r="B4" s="5" t="s">
        <v>138</v>
      </c>
    </row>
    <row r="5" customFormat="false" ht="15" hidden="false" customHeight="false" outlineLevel="0" collapsed="false">
      <c r="A5" s="5" t="s">
        <v>139</v>
      </c>
      <c r="B5" s="5" t="s">
        <v>140</v>
      </c>
    </row>
    <row r="6" customFormat="false" ht="15" hidden="false" customHeight="false" outlineLevel="0" collapsed="false">
      <c r="A6" s="5" t="s">
        <v>141</v>
      </c>
      <c r="B6" s="5" t="s">
        <v>142</v>
      </c>
    </row>
    <row r="7" customFormat="false" ht="15" hidden="false" customHeight="false" outlineLevel="0" collapsed="false">
      <c r="A7" s="5" t="s">
        <v>143</v>
      </c>
      <c r="B7" s="5" t="s">
        <v>144</v>
      </c>
    </row>
    <row r="8" customFormat="false" ht="15" hidden="false" customHeight="false" outlineLevel="0" collapsed="false">
      <c r="A8" s="5" t="s">
        <v>145</v>
      </c>
      <c r="B8" s="5" t="s">
        <v>146</v>
      </c>
    </row>
    <row r="9" customFormat="false" ht="15" hidden="false" customHeight="false" outlineLevel="0" collapsed="false">
      <c r="A9" s="5" t="s">
        <v>147</v>
      </c>
      <c r="B9" s="5" t="s">
        <v>148</v>
      </c>
    </row>
    <row r="10" customFormat="false" ht="15" hidden="false" customHeight="false" outlineLevel="0" collapsed="false">
      <c r="A10" s="5" t="s">
        <v>149</v>
      </c>
      <c r="B10" s="5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68</v>
      </c>
      <c r="B1" s="3" t="s">
        <v>151</v>
      </c>
      <c r="C1" s="3" t="s">
        <v>152</v>
      </c>
    </row>
    <row r="2" customFormat="false" ht="24" hidden="false" customHeight="false" outlineLevel="0" collapsed="false">
      <c r="A2" s="5" t="s">
        <v>153</v>
      </c>
      <c r="B2" s="5" t="s">
        <v>154</v>
      </c>
      <c r="C2" s="8" t="s">
        <v>155</v>
      </c>
    </row>
    <row r="3" customFormat="false" ht="24" hidden="false" customHeight="false" outlineLevel="0" collapsed="false">
      <c r="A3" s="5" t="s">
        <v>156</v>
      </c>
      <c r="B3" s="5" t="s">
        <v>157</v>
      </c>
      <c r="C3" s="8" t="s">
        <v>155</v>
      </c>
    </row>
    <row r="4" customFormat="false" ht="24" hidden="false" customHeight="false" outlineLevel="0" collapsed="false">
      <c r="A4" s="5" t="s">
        <v>158</v>
      </c>
      <c r="B4" s="5" t="s">
        <v>159</v>
      </c>
      <c r="C4" s="8" t="s">
        <v>155</v>
      </c>
    </row>
    <row r="5" customFormat="false" ht="15" hidden="false" customHeight="false" outlineLevel="0" collapsed="false">
      <c r="A5" s="5" t="s">
        <v>160</v>
      </c>
      <c r="B5" s="5" t="s">
        <v>161</v>
      </c>
      <c r="C5" s="14" t="s">
        <v>162</v>
      </c>
    </row>
    <row r="6" customFormat="false" ht="24" hidden="false" customHeight="false" outlineLevel="0" collapsed="false">
      <c r="A6" s="5" t="s">
        <v>163</v>
      </c>
      <c r="B6" s="5" t="s">
        <v>164</v>
      </c>
      <c r="C6" s="14" t="s">
        <v>162</v>
      </c>
    </row>
    <row r="7" customFormat="false" ht="24" hidden="false" customHeight="false" outlineLevel="0" collapsed="false">
      <c r="A7" s="5" t="s">
        <v>165</v>
      </c>
      <c r="B7" s="5" t="s">
        <v>166</v>
      </c>
      <c r="C7" s="14" t="s">
        <v>162</v>
      </c>
    </row>
    <row r="8" customFormat="false" ht="15" hidden="false" customHeight="false" outlineLevel="0" collapsed="false">
      <c r="A8" s="5" t="s">
        <v>167</v>
      </c>
      <c r="B8" s="5" t="s">
        <v>168</v>
      </c>
      <c r="C8" s="14" t="s">
        <v>162</v>
      </c>
    </row>
    <row r="9" customFormat="false" ht="24" hidden="false" customHeight="false" outlineLevel="0" collapsed="false">
      <c r="A9" s="5" t="s">
        <v>169</v>
      </c>
      <c r="B9" s="5" t="s">
        <v>170</v>
      </c>
      <c r="C9" s="1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2026-10-26T10:06:44Z</dcterms:created>
  <dc:creator>openpyxl</dc:creator>
  <dc:description/>
  <dc:language>en-IN</dc:language>
  <cp:lastModifiedBy/>
  <dcterms:modified xsi:type="dcterms:W3CDTF">2026-10-26T10:06:44Z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